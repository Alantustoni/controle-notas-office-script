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recebidas" sheetId="1" state="visible" r:id="rId1"/>
    <sheet xmlns:r="http://schemas.openxmlformats.org/officeDocument/2006/relationships" name="Emails" sheetId="2" state="visible" r:id="rId2"/>
    <sheet xmlns:r="http://schemas.openxmlformats.org/officeDocument/2006/relationships" name="Revisao" sheetId="3" state="visible" r:id="rId3"/>
    <sheet xmlns:r="http://schemas.openxmlformats.org/officeDocument/2006/relationships" name="Gu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7F7F7F"/>
      <sz val="9"/>
    </font>
    <font>
      <b val="1"/>
      <color rgb="00595959"/>
      <sz val="10"/>
    </font>
    <font>
      <b val="1"/>
      <color rgb="001F4E79"/>
      <sz val="22"/>
    </font>
    <font>
      <b val="1"/>
      <color rgb="007F600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5" fillId="2" borderId="0" pivotButton="0" quotePrefix="0" xfId="0"/>
    <xf numFmtId="164" fontId="5" fillId="2" borderId="0" pivotButton="0" quotePrefix="0" xfId="0"/>
    <xf numFmtId="165" fontId="5" fillId="2" borderId="0" pivotButton="0" quotePrefix="0" xfId="0"/>
    <xf numFmtId="4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Notas" displayName="tbNotas" ref="A12:R23" headerRowCount="1">
  <autoFilter ref="A12:R23"/>
  <tableColumns count="18">
    <tableColumn id="1" name="NF"/>
    <tableColumn id="2" name="Empresa"/>
    <tableColumn id="3" name="Fornecedor"/>
    <tableColumn id="4" name="FOR"/>
    <tableColumn id="5" name="AF / Pedido"/>
    <tableColumn id="6" name="Vencimento"/>
    <tableColumn id="7" name="Comunicação"/>
    <tableColumn id="8" name="Recebido em"/>
    <tableColumn id="9" name="Conferencia"/>
    <tableColumn id="10" name="Possivel_Vinculo"/>
    <tableColumn id="11" name="Observacoes"/>
    <tableColumn id="12" name="Valor_NF_Informado"/>
    <tableColumn id="13" name="Valor_AF_Informado"/>
    <tableColumn id="14" name="Diferenca_Informada"/>
    <tableColumn id="15" name="Liquido_Informado"/>
    <tableColumn id="16" name="ID_Email"/>
    <tableColumn id="17" name="ID_Registro"/>
    <tableColumn id="18" name="Chave_Provisoria"/>
  </tableColumns>
  <tableStyleInfo name="TableStyleMedium2" showRowStripes="1"/>
</table>
</file>

<file path=xl/tables/table2.xml><?xml version="1.0" encoding="utf-8"?>
<table xmlns="http://schemas.openxmlformats.org/spreadsheetml/2006/main" id="2" name="tbEmails" displayName="tbEmails" ref="A1:M8" headerRowCount="1">
  <autoFilter ref="A1:M8"/>
  <tableColumns count="13">
    <tableColumn id="1" name="ID_Email"/>
    <tableColumn id="2" name="Message_ID"/>
    <tableColumn id="3" name="Internet_Message_ID"/>
    <tableColumn id="4" name="Recebido_UTC_3"/>
    <tableColumn id="5" name="Recebido_UTC_Original"/>
    <tableColumn id="6" name="Remetente"/>
    <tableColumn id="7" name="Assunto"/>
    <tableColumn id="8" name="Referencias"/>
    <tableColumn id="9" name="Pendencias"/>
    <tableColumn id="10" name="Status_Captura"/>
    <tableColumn id="11" name="Tem_Anexos"/>
    <tableColumn id="12" name="Link_Original"/>
    <tableColumn id="13" name="Trecho_Corpo"/>
  </tableColumns>
  <tableStyleInfo name="TableStyleMedium2" showRowStripes="1"/>
</table>
</file>

<file path=xl/tables/table3.xml><?xml version="1.0" encoding="utf-8"?>
<table xmlns="http://schemas.openxmlformats.org/spreadsheetml/2006/main" id="3" name="tbRevisao" displayName="tbRevisao" ref="A1:F10" headerRowCount="1">
  <autoFilter ref="A1:F10"/>
  <tableColumns count="6">
    <tableColumn id="1" name="ID_Revisao"/>
    <tableColumn id="2" name="ID_Email"/>
    <tableColumn id="3" name="NF"/>
    <tableColumn id="4" name="Tipo"/>
    <tableColumn id="5" name="Detalhe"/>
    <tableColumn id="6" name="Situaca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8" customWidth="1" min="4" max="4"/>
    <col width="12" customWidth="1" min="5" max="5"/>
    <col width="12" customWidth="1" min="6" max="6"/>
    <col width="18" customWidth="1" min="7" max="7"/>
    <col width="16" customWidth="1" min="8" max="8"/>
    <col width="20" customWidth="1" min="9" max="9"/>
    <col width="30" customWidth="1" min="10" max="10"/>
    <col width="4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22" customWidth="1" min="17" max="17"/>
    <col width="30" customWidth="1" min="18" max="18"/>
  </cols>
  <sheetData>
    <row r="2">
      <c r="B2" s="1" t="inlineStr">
        <is>
          <t>Controle de Notas — Compras</t>
        </is>
      </c>
    </row>
    <row r="3">
      <c r="B3" s="2" t="inlineStr">
        <is>
          <t>Leitor v1.3 • Campos ausentes ficam em branco. Pendências na aba Revisao.</t>
        </is>
      </c>
    </row>
    <row r="5">
      <c r="B5" s="3" t="inlineStr">
        <is>
          <t>Referências ALFAMETAL</t>
        </is>
      </c>
      <c r="F5" s="3" t="inlineStr">
        <is>
          <t>Referências BETAVIARIA</t>
        </is>
      </c>
    </row>
    <row r="6">
      <c r="B6" s="4">
        <f>IFERROR(SUMPRODUCT(--(tbNotas[Empresa]="ALFAMETAL"),--(tbNotas[NF]&lt;&gt;""),LEN(tbNotas[NF])-LEN(SUBSTITUTE(tbNotas[NF],"/",""))+1),0)</f>
        <v/>
      </c>
      <c r="F6" s="4">
        <f>IFERROR(SUMPRODUCT(--(tbNotas[Empresa]="BETAVIARIA"),--(tbNotas[NF]&lt;&gt;""),LEN(tbNotas[NF])-LEN(SUBSTITUTE(tbNotas[NF],"/",""))+1),0)</f>
        <v/>
      </c>
    </row>
    <row r="10">
      <c r="B10" s="2" t="inlineStr">
        <is>
          <t>Totais de referências (não NFs únicas). Barras somam cada NF; sem empresa/NF não entra nos totais.</t>
        </is>
      </c>
    </row>
    <row r="12">
      <c r="A12" t="inlineStr">
        <is>
          <t>NF</t>
        </is>
      </c>
      <c r="B12" t="inlineStr">
        <is>
          <t>Empresa</t>
        </is>
      </c>
      <c r="C12" t="inlineStr">
        <is>
          <t>Fornecedor</t>
        </is>
      </c>
      <c r="D12" t="inlineStr">
        <is>
          <t>FOR</t>
        </is>
      </c>
      <c r="E12" t="inlineStr">
        <is>
          <t>AF / Pedido</t>
        </is>
      </c>
      <c r="F12" t="inlineStr">
        <is>
          <t>Vencimento</t>
        </is>
      </c>
      <c r="G12" t="inlineStr">
        <is>
          <t>Comunicação</t>
        </is>
      </c>
      <c r="H12" t="inlineStr">
        <is>
          <t>Recebido em</t>
        </is>
      </c>
      <c r="I12" t="inlineStr">
        <is>
          <t>Conferencia</t>
        </is>
      </c>
      <c r="J12" t="inlineStr">
        <is>
          <t>Possivel_Vinculo</t>
        </is>
      </c>
      <c r="K12" t="inlineStr">
        <is>
          <t>Observacoes</t>
        </is>
      </c>
      <c r="L12" t="inlineStr">
        <is>
          <t>Valor_NF_Informado</t>
        </is>
      </c>
      <c r="M12" t="inlineStr">
        <is>
          <t>Valor_AF_Informado</t>
        </is>
      </c>
      <c r="N12" t="inlineStr">
        <is>
          <t>Diferenca_Informada</t>
        </is>
      </c>
      <c r="O12" t="inlineStr">
        <is>
          <t>Liquido_Informado</t>
        </is>
      </c>
      <c r="P12" t="inlineStr">
        <is>
          <t>ID_Email</t>
        </is>
      </c>
      <c r="Q12" t="inlineStr">
        <is>
          <t>ID_Registro</t>
        </is>
      </c>
      <c r="R12" t="inlineStr">
        <is>
          <t>Chave_Provisoria</t>
        </is>
      </c>
    </row>
    <row r="13">
      <c r="B13" t="inlineStr">
        <is>
          <t>BETAVIARIA</t>
        </is>
      </c>
      <c r="C13" t="inlineStr">
        <is>
          <t>Montagens Exemplo Ltda</t>
        </is>
      </c>
      <c r="E13" t="inlineStr">
        <is>
          <t>5620</t>
        </is>
      </c>
      <c r="F13" s="5" t="n"/>
      <c r="G13" t="inlineStr">
        <is>
          <t>Adiantamento — sem NF</t>
        </is>
      </c>
      <c r="H13" s="6" t="n">
        <v>46332.32291666667</v>
      </c>
      <c r="I13" t="inlineStr">
        <is>
          <t>Aguardando conferência</t>
        </is>
      </c>
      <c r="J13" t="inlineStr">
        <is>
          <t>Não localizado nesta base</t>
        </is>
      </c>
      <c r="K13" t="inlineStr">
        <is>
          <t>Solicitação de adiantamento, não nota fiscal. Empresa: BETAVIARIA
Solicitamos adiantamento conforme proposta.
AF: 5620
 | TEXTO1 | Referência de e-mail; documento fiscal não verificado.</t>
        </is>
      </c>
      <c r="L13" s="7" t="n"/>
      <c r="M13" s="7" t="n"/>
      <c r="N13" s="7" t="n"/>
      <c r="O13" s="7" t="n"/>
      <c r="P13" t="inlineStr">
        <is>
          <t>msg-exemplo-6</t>
        </is>
      </c>
      <c r="Q13" t="inlineStr">
        <is>
          <t>msg-exemplo-6|V13|TEXTO1</t>
        </is>
      </c>
      <c r="R13" t="inlineStr">
        <is>
          <t>BETAVIARIA|NOME:MONTAGENS EXEMPLO LTDA|NF:</t>
        </is>
      </c>
    </row>
    <row r="14">
      <c r="A14" t="inlineStr">
        <is>
          <t>5530</t>
        </is>
      </c>
      <c r="B14" t="inlineStr">
        <is>
          <t>ALFAMETAL</t>
        </is>
      </c>
      <c r="C14" t="inlineStr">
        <is>
          <t>Usinagem Fictícia Ltda</t>
        </is>
      </c>
      <c r="D14" t="inlineStr">
        <is>
          <t>2210</t>
        </is>
      </c>
      <c r="E14" t="inlineStr">
        <is>
          <t>5530</t>
        </is>
      </c>
      <c r="F14" s="5" t="n">
        <v>46346</v>
      </c>
      <c r="G14" t="inlineStr">
        <is>
          <t>Envio informado</t>
        </is>
      </c>
      <c r="H14" s="6" t="n">
        <v>46332.25694444445</v>
      </c>
      <c r="I14" t="inlineStr">
        <is>
          <t>Aguardando conferência</t>
        </is>
      </c>
      <c r="J14" t="inlineStr">
        <is>
          <t>Não localizado nesta base</t>
        </is>
      </c>
      <c r="K14" t="inlineStr">
        <is>
          <t>Dados de origem: ["2210","Usinagem Fictícia Ltda","5530","5530","20/11/2026"] | T1L2 | Referência de e-mail; documento fiscal não verificado.</t>
        </is>
      </c>
      <c r="L14" s="7" t="n"/>
      <c r="M14" s="7" t="n"/>
      <c r="N14" s="7" t="n"/>
      <c r="O14" s="7" t="n"/>
      <c r="P14" t="inlineStr">
        <is>
          <t>msg-exemplo-5</t>
        </is>
      </c>
      <c r="Q14" t="inlineStr">
        <is>
          <t>msg-exemplo-5|V13|T1L2</t>
        </is>
      </c>
      <c r="R14" t="inlineStr">
        <is>
          <t>ALFAMETAL|FOR:2210|NF:5530</t>
        </is>
      </c>
    </row>
    <row r="15">
      <c r="A15" t="inlineStr">
        <is>
          <t>8120</t>
        </is>
      </c>
      <c r="B15" t="inlineStr">
        <is>
          <t>ALFAMETAL</t>
        </is>
      </c>
      <c r="C15" t="inlineStr">
        <is>
          <t>Gases Modelo Ltda</t>
        </is>
      </c>
      <c r="F15" s="5" t="n"/>
      <c r="G15" t="inlineStr">
        <is>
          <t>Desconto informado</t>
        </is>
      </c>
      <c r="H15" s="6" t="n">
        <v>46331.47222222222</v>
      </c>
      <c r="I15" t="inlineStr">
        <is>
          <t>Aguardando conferência</t>
        </is>
      </c>
      <c r="J15" t="inlineStr">
        <is>
          <t>Não localizado nesta base</t>
        </is>
      </c>
      <c r="K15" t="inlineStr">
        <is>
          <t>Dados de origem: ["Gases Modelo Ltda","8120","1.500,00","150,00","1.350,00"] | Vencimento não informado | Instruções comunicadas: Bom dia, segue desconto negociado. FORNECEDOR NF VALOR NOTA FISCAL DIFERENÇA VALOR LÍQUIDO Gases Modelo Ltda 8120 1.500,00 150,00 1.350,00 TOTAL 1.500,00 150,00 1.350,00 Favor pagar o valor líquido. | T1L2 | Referência de e-mail; documento fiscal não verificado.</t>
        </is>
      </c>
      <c r="L15" s="7" t="n">
        <v>1500</v>
      </c>
      <c r="M15" s="7" t="n"/>
      <c r="N15" s="7" t="n">
        <v>150</v>
      </c>
      <c r="O15" s="7" t="n">
        <v>1350</v>
      </c>
      <c r="P15" t="inlineStr">
        <is>
          <t>msg-exemplo-4</t>
        </is>
      </c>
      <c r="Q15" t="inlineStr">
        <is>
          <t>msg-exemplo-4|V13|T1L2</t>
        </is>
      </c>
      <c r="R15" t="inlineStr">
        <is>
          <t>ALFAMETAL|NOME:GASES MODELO LTDA|NF:8120</t>
        </is>
      </c>
    </row>
    <row r="16">
      <c r="A16" s="8" t="inlineStr">
        <is>
          <t>1001</t>
        </is>
      </c>
      <c r="B16" s="8" t="inlineStr">
        <is>
          <t>ALFAMETAL</t>
        </is>
      </c>
      <c r="C16" s="8" t="inlineStr">
        <is>
          <t>Fornecedor Exemplo Ltda</t>
        </is>
      </c>
      <c r="D16" s="8" t="inlineStr">
        <is>
          <t>1020</t>
        </is>
      </c>
      <c r="E16" s="8" t="inlineStr">
        <is>
          <t>5501</t>
        </is>
      </c>
      <c r="F16" s="9" t="n">
        <v>46336</v>
      </c>
      <c r="G16" s="8" t="inlineStr">
        <is>
          <t>Envio informado</t>
        </is>
      </c>
      <c r="H16" s="10" t="n">
        <v>46331.38541666667</v>
      </c>
      <c r="I16" s="8" t="inlineStr">
        <is>
          <t>Aguardando conferência</t>
        </is>
      </c>
      <c r="J16" s="8" t="inlineStr">
        <is>
          <t>Possível duplicidade - conferir</t>
        </is>
      </c>
      <c r="K16" s="8" t="inlineStr">
        <is>
          <t>Dados de origem: ["ALFAMETAL","1020","Fornecedor Exemplo Ltda","1001","5501","10/11/2026"] | ENC/RES aceito; data de recebimento é a desta mensagem, não do envio original. | T1L2 | Referência de e-mail; documento fiscal não verificado.</t>
        </is>
      </c>
      <c r="L16" s="11" t="n"/>
      <c r="M16" s="11" t="n"/>
      <c r="N16" s="11" t="n"/>
      <c r="O16" s="11" t="n"/>
      <c r="P16" s="8" t="inlineStr">
        <is>
          <t>msg-exemplo-3</t>
        </is>
      </c>
      <c r="Q16" s="8" t="inlineStr">
        <is>
          <t>msg-exemplo-3|V13|T1L2</t>
        </is>
      </c>
      <c r="R16" s="8" t="inlineStr">
        <is>
          <t>ALFAMETAL|FOR:1020|NF:1001</t>
        </is>
      </c>
    </row>
    <row r="17">
      <c r="A17" s="8" t="inlineStr">
        <is>
          <t>48213</t>
        </is>
      </c>
      <c r="B17" s="8" t="inlineStr">
        <is>
          <t>ALFAMETAL</t>
        </is>
      </c>
      <c r="C17" s="8" t="inlineStr">
        <is>
          <t>Comercial Modelo ME</t>
        </is>
      </c>
      <c r="D17" s="8" t="inlineStr">
        <is>
          <t>1187</t>
        </is>
      </c>
      <c r="E17" s="8" t="inlineStr">
        <is>
          <t>5507</t>
        </is>
      </c>
      <c r="F17" s="9" t="n">
        <v>46338</v>
      </c>
      <c r="G17" s="8" t="inlineStr">
        <is>
          <t>Envio informado</t>
        </is>
      </c>
      <c r="H17" s="10" t="n">
        <v>46331.38541666667</v>
      </c>
      <c r="I17" s="8" t="inlineStr">
        <is>
          <t>Aguardando conferência</t>
        </is>
      </c>
      <c r="J17" s="8" t="inlineStr">
        <is>
          <t>Possível duplicidade - conferir</t>
        </is>
      </c>
      <c r="K17" s="8" t="inlineStr">
        <is>
          <t>Dados de origem: ["ALFAMETAL","1187","Comercial Modelo ME","48213","5507","12/11/2026"] | ENC/RES aceito; data de recebimento é a desta mensagem, não do envio original. | T1L3 | Referência de e-mail; documento fiscal não verificado.</t>
        </is>
      </c>
      <c r="L17" s="11" t="n"/>
      <c r="M17" s="11" t="n"/>
      <c r="N17" s="11" t="n"/>
      <c r="O17" s="11" t="n"/>
      <c r="P17" s="8" t="inlineStr">
        <is>
          <t>msg-exemplo-3</t>
        </is>
      </c>
      <c r="Q17" s="8" t="inlineStr">
        <is>
          <t>msg-exemplo-3|V13|T1L3</t>
        </is>
      </c>
      <c r="R17" s="8" t="inlineStr">
        <is>
          <t>ALFAMETAL|FOR:1187|NF:48213</t>
        </is>
      </c>
    </row>
    <row r="18">
      <c r="A18" s="8" t="inlineStr">
        <is>
          <t>2002/2003</t>
        </is>
      </c>
      <c r="B18" s="8" t="inlineStr">
        <is>
          <t>BETAVIARIA</t>
        </is>
      </c>
      <c r="C18" s="8" t="inlineStr">
        <is>
          <t>Transportes Fictícios SA</t>
        </is>
      </c>
      <c r="D18" s="8" t="inlineStr">
        <is>
          <t>3040</t>
        </is>
      </c>
      <c r="E18" s="8" t="inlineStr">
        <is>
          <t>5502</t>
        </is>
      </c>
      <c r="F18" s="9" t="n">
        <v>46341</v>
      </c>
      <c r="G18" s="8" t="inlineStr">
        <is>
          <t>Envio informado</t>
        </is>
      </c>
      <c r="H18" s="10" t="n">
        <v>46331.38541666667</v>
      </c>
      <c r="I18" s="8" t="inlineStr">
        <is>
          <t>Aguardando conferência</t>
        </is>
      </c>
      <c r="J18" s="8" t="inlineStr">
        <is>
          <t>Possível duplicidade - conferir</t>
        </is>
      </c>
      <c r="K18" s="8" t="inlineStr">
        <is>
          <t>Dados de origem: ["BETAVIARIA","3040","Transportes Fictícios SA","2002/2003","5502","15/11/2026"] | ENC/RES aceito; data de recebimento é a desta mensagem, não do envio original. | T1L4 | Referência de e-mail; documento fiscal não verificado.</t>
        </is>
      </c>
      <c r="L18" s="11" t="n"/>
      <c r="M18" s="11" t="n"/>
      <c r="N18" s="11" t="n"/>
      <c r="O18" s="11" t="n"/>
      <c r="P18" s="8" t="inlineStr">
        <is>
          <t>msg-exemplo-3</t>
        </is>
      </c>
      <c r="Q18" s="8" t="inlineStr">
        <is>
          <t>msg-exemplo-3|V13|T1L4</t>
        </is>
      </c>
      <c r="R18" s="8" t="inlineStr">
        <is>
          <t>BETAVIARIA|FOR:3040|NF:2002/2003</t>
        </is>
      </c>
    </row>
    <row r="19">
      <c r="A19" t="inlineStr">
        <is>
          <t>777</t>
        </is>
      </c>
      <c r="B19" t="inlineStr">
        <is>
          <t>BETAVIARIA</t>
        </is>
      </c>
      <c r="C19" t="inlineStr">
        <is>
          <t>Serviços Demonstração Ltda</t>
        </is>
      </c>
      <c r="E19" t="inlineStr">
        <is>
          <t>5610</t>
        </is>
      </c>
      <c r="F19" s="5" t="n">
        <v>46357</v>
      </c>
      <c r="G19" t="inlineStr">
        <is>
          <t>Envio informado</t>
        </is>
      </c>
      <c r="H19" s="6" t="n">
        <v>46330.56944444445</v>
      </c>
      <c r="I19" t="inlineStr">
        <is>
          <t>Aguardando conferência</t>
        </is>
      </c>
      <c r="J19" t="inlineStr">
        <is>
          <t>Não localizado nesta base</t>
        </is>
      </c>
      <c r="K19" t="inlineStr">
        <is>
          <t>Dados de origem: ["Serviços Demonstração Ltda","777","5610","01/12/2026"] | T1L2 | Referência de e-mail; documento fiscal não verificado.</t>
        </is>
      </c>
      <c r="L19" s="7" t="n"/>
      <c r="M19" s="7" t="n"/>
      <c r="N19" s="7" t="n"/>
      <c r="O19" s="7" t="n"/>
      <c r="P19" t="inlineStr">
        <is>
          <t>msg-exemplo-2</t>
        </is>
      </c>
      <c r="Q19" t="inlineStr">
        <is>
          <t>msg-exemplo-2|V13|T1L2</t>
        </is>
      </c>
      <c r="R19" t="inlineStr">
        <is>
          <t>BETAVIARIA|NOME:SERVICOS DEMONSTRACAO LTDA|NF:777</t>
        </is>
      </c>
    </row>
    <row r="20">
      <c r="A20" t="inlineStr">
        <is>
          <t>3315</t>
        </is>
      </c>
      <c r="B20" t="inlineStr">
        <is>
          <t>BETAVIARIA</t>
        </is>
      </c>
      <c r="C20" t="inlineStr">
        <is>
          <t>Peças Exemplo Eireli</t>
        </is>
      </c>
      <c r="E20" t="inlineStr">
        <is>
          <t>5611</t>
        </is>
      </c>
      <c r="F20" s="5" t="n"/>
      <c r="G20" t="inlineStr">
        <is>
          <t>Envio informado</t>
        </is>
      </c>
      <c r="H20" s="6" t="n">
        <v>46330.56944444445</v>
      </c>
      <c r="I20" t="inlineStr">
        <is>
          <t>Aguardando conferência</t>
        </is>
      </c>
      <c r="J20" t="inlineStr">
        <is>
          <t>Não localizado nesta base</t>
        </is>
      </c>
      <c r="K20" t="inlineStr">
        <is>
          <t>Dados de origem: ["Peças Exemplo Eireli","3315","5611",""] | Vencimento não informado | T1L3 | Referência de e-mail; documento fiscal não verificado.</t>
        </is>
      </c>
      <c r="L20" s="7" t="n"/>
      <c r="M20" s="7" t="n"/>
      <c r="N20" s="7" t="n"/>
      <c r="O20" s="7" t="n"/>
      <c r="P20" t="inlineStr">
        <is>
          <t>msg-exemplo-2</t>
        </is>
      </c>
      <c r="Q20" t="inlineStr">
        <is>
          <t>msg-exemplo-2|V13|T1L3</t>
        </is>
      </c>
      <c r="R20" t="inlineStr">
        <is>
          <t>BETAVIARIA|NOME:PECAS EXEMPLO EIRELI|NF:3315</t>
        </is>
      </c>
    </row>
    <row r="21">
      <c r="A21" s="8" t="inlineStr">
        <is>
          <t>1001</t>
        </is>
      </c>
      <c r="B21" s="8" t="inlineStr">
        <is>
          <t>ALFAMETAL</t>
        </is>
      </c>
      <c r="C21" s="8" t="inlineStr">
        <is>
          <t>Fornecedor Exemplo Ltda</t>
        </is>
      </c>
      <c r="D21" s="8" t="inlineStr">
        <is>
          <t>1020</t>
        </is>
      </c>
      <c r="E21" s="8" t="inlineStr">
        <is>
          <t>5501</t>
        </is>
      </c>
      <c r="F21" s="9" t="n">
        <v>46336</v>
      </c>
      <c r="G21" s="8" t="inlineStr">
        <is>
          <t>Envio informado</t>
        </is>
      </c>
      <c r="H21" s="10" t="n">
        <v>46329.42013888889</v>
      </c>
      <c r="I21" s="8" t="inlineStr">
        <is>
          <t>Aguardando conferência</t>
        </is>
      </c>
      <c r="J21" s="8" t="inlineStr">
        <is>
          <t>Não localizado nesta base</t>
        </is>
      </c>
      <c r="K21" s="8" t="inlineStr">
        <is>
          <t>Dados de origem: ["ALFAMETAL","1020","Fornecedor Exemplo Ltda","1001","5501","10/11/2026"] | T1L2 | Referência de e-mail; documento fiscal não verificado.</t>
        </is>
      </c>
      <c r="L21" s="11" t="n"/>
      <c r="M21" s="11" t="n"/>
      <c r="N21" s="11" t="n"/>
      <c r="O21" s="11" t="n"/>
      <c r="P21" s="8" t="inlineStr">
        <is>
          <t>msg-exemplo-1</t>
        </is>
      </c>
      <c r="Q21" s="8" t="inlineStr">
        <is>
          <t>msg-exemplo-1|V13|T1L2</t>
        </is>
      </c>
      <c r="R21" s="8" t="inlineStr">
        <is>
          <t>ALFAMETAL|FOR:1020|NF:1001</t>
        </is>
      </c>
    </row>
    <row r="22">
      <c r="A22" s="8" t="inlineStr">
        <is>
          <t>48213</t>
        </is>
      </c>
      <c r="B22" s="8" t="inlineStr">
        <is>
          <t>ALFAMETAL</t>
        </is>
      </c>
      <c r="C22" s="8" t="inlineStr">
        <is>
          <t>Comercial Modelo ME</t>
        </is>
      </c>
      <c r="D22" s="8" t="inlineStr">
        <is>
          <t>1187</t>
        </is>
      </c>
      <c r="E22" s="8" t="inlineStr">
        <is>
          <t>5507</t>
        </is>
      </c>
      <c r="F22" s="9" t="n">
        <v>46338</v>
      </c>
      <c r="G22" s="8" t="inlineStr">
        <is>
          <t>Envio informado</t>
        </is>
      </c>
      <c r="H22" s="10" t="n">
        <v>46329.42013888889</v>
      </c>
      <c r="I22" s="8" t="inlineStr">
        <is>
          <t>Aguardando conferência</t>
        </is>
      </c>
      <c r="J22" s="8" t="inlineStr">
        <is>
          <t>Não localizado nesta base</t>
        </is>
      </c>
      <c r="K22" s="8" t="inlineStr">
        <is>
          <t>Dados de origem: ["ALFAMETAL","1187","Comercial Modelo ME","48213","5507","12/11/2026"] | T1L3 | Referência de e-mail; documento fiscal não verificado.</t>
        </is>
      </c>
      <c r="L22" s="11" t="n"/>
      <c r="M22" s="11" t="n"/>
      <c r="N22" s="11" t="n"/>
      <c r="O22" s="11" t="n"/>
      <c r="P22" s="8" t="inlineStr">
        <is>
          <t>msg-exemplo-1</t>
        </is>
      </c>
      <c r="Q22" s="8" t="inlineStr">
        <is>
          <t>msg-exemplo-1|V13|T1L3</t>
        </is>
      </c>
      <c r="R22" s="8" t="inlineStr">
        <is>
          <t>ALFAMETAL|FOR:1187|NF:48213</t>
        </is>
      </c>
    </row>
    <row r="23">
      <c r="A23" s="8" t="inlineStr">
        <is>
          <t>2002/2003</t>
        </is>
      </c>
      <c r="B23" s="8" t="inlineStr">
        <is>
          <t>BETAVIARIA</t>
        </is>
      </c>
      <c r="C23" s="8" t="inlineStr">
        <is>
          <t>Transportes Fictícios SA</t>
        </is>
      </c>
      <c r="D23" s="8" t="inlineStr">
        <is>
          <t>3040</t>
        </is>
      </c>
      <c r="E23" s="8" t="inlineStr">
        <is>
          <t>5502</t>
        </is>
      </c>
      <c r="F23" s="9" t="n">
        <v>46341</v>
      </c>
      <c r="G23" s="8" t="inlineStr">
        <is>
          <t>Envio informado</t>
        </is>
      </c>
      <c r="H23" s="10" t="n">
        <v>46329.42013888889</v>
      </c>
      <c r="I23" s="8" t="inlineStr">
        <is>
          <t>Aguardando conferência</t>
        </is>
      </c>
      <c r="J23" s="8" t="inlineStr">
        <is>
          <t>Não localizado nesta base</t>
        </is>
      </c>
      <c r="K23" s="8" t="inlineStr">
        <is>
          <t>Dados de origem: ["BETAVIARIA","3040","Transportes Fictícios SA","2002/2003","5502","15/11/2026"] | T1L4 | Referência de e-mail; documento fiscal não verificado.</t>
        </is>
      </c>
      <c r="L23" s="11" t="n"/>
      <c r="M23" s="11" t="n"/>
      <c r="N23" s="11" t="n"/>
      <c r="O23" s="11" t="n"/>
      <c r="P23" s="8" t="inlineStr">
        <is>
          <t>msg-exemplo-1</t>
        </is>
      </c>
      <c r="Q23" s="8" t="inlineStr">
        <is>
          <t>msg-exemplo-1|V13|T1L4</t>
        </is>
      </c>
      <c r="R23" s="8" t="inlineStr">
        <is>
          <t>BETAVIARIA|FOR:3040|NF:2002/2003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22" customWidth="1" min="5" max="5"/>
    <col width="26" customWidth="1" min="6" max="6"/>
    <col width="30" customWidth="1" min="7" max="7"/>
    <col width="11" customWidth="1" min="8" max="8"/>
    <col width="11" customWidth="1" min="9" max="9"/>
    <col width="15" customWidth="1" min="10" max="10"/>
    <col width="22" customWidth="1" min="11" max="11"/>
    <col width="20" customWidth="1" min="12" max="12"/>
    <col width="50" customWidth="1" min="13" max="13"/>
  </cols>
  <sheetData>
    <row r="1">
      <c r="A1" t="inlineStr">
        <is>
          <t>ID_Email</t>
        </is>
      </c>
      <c r="B1" t="inlineStr">
        <is>
          <t>Message_ID</t>
        </is>
      </c>
      <c r="C1" t="inlineStr">
        <is>
          <t>Internet_Message_ID</t>
        </is>
      </c>
      <c r="D1" t="inlineStr">
        <is>
          <t>Recebido_UTC_3</t>
        </is>
      </c>
      <c r="E1" t="inlineStr">
        <is>
          <t>Recebido_UTC_Original</t>
        </is>
      </c>
      <c r="F1" t="inlineStr">
        <is>
          <t>Remetente</t>
        </is>
      </c>
      <c r="G1" t="inlineStr">
        <is>
          <t>Assunto</t>
        </is>
      </c>
      <c r="H1" t="inlineStr">
        <is>
          <t>Referencias</t>
        </is>
      </c>
      <c r="I1" t="inlineStr">
        <is>
          <t>Pendencias</t>
        </is>
      </c>
      <c r="J1" t="inlineStr">
        <is>
          <t>Status_Captura</t>
        </is>
      </c>
      <c r="K1" t="inlineStr">
        <is>
          <t>Tem_Anexos</t>
        </is>
      </c>
      <c r="L1" t="inlineStr">
        <is>
          <t>Link_Original</t>
        </is>
      </c>
      <c r="M1" t="inlineStr">
        <is>
          <t>Trecho_Corpo</t>
        </is>
      </c>
    </row>
    <row r="2">
      <c r="A2" t="inlineStr">
        <is>
          <t>msg-exemplo-1</t>
        </is>
      </c>
      <c r="B2" t="inlineStr">
        <is>
          <t>msg-exemplo-1</t>
        </is>
      </c>
      <c r="D2" s="6" t="n">
        <v>46329.42013888889</v>
      </c>
      <c r="E2" t="inlineStr">
        <is>
          <t>2026-11-03T13:05:00Z</t>
        </is>
      </c>
      <c r="F2" t="inlineStr">
        <is>
          <t>compras@exemplo.com.br</t>
        </is>
      </c>
      <c r="G2" t="inlineStr">
        <is>
          <t>Notas recebidas 03/11</t>
        </is>
      </c>
      <c r="H2" t="n">
        <v>3</v>
      </c>
      <c r="I2" t="n">
        <v>0</v>
      </c>
      <c r="J2" t="inlineStr">
        <is>
          <t>Concluído</t>
        </is>
      </c>
      <c r="K2" t="inlineStr">
        <is>
          <t>Não informado pelo conector</t>
        </is>
      </c>
      <c r="M2" t="inlineStr">
        <is>
          <t>[LEITOR_V13]
Boa tarde, seguem as notas recebidas hoje.
  EMPRESA
FOR
FORNECEDOR
NF
AF
VENCIMENTO
  ALFAMETAL
1020
Fornecedor Exemplo Ltda
1001
5501
10/11/2026
  ALFAMETAL
1187
Comercial Modelo ME
48213
5507
12/11/2026
  BETAVIARIA
3040
Transportes Fictícios SA
2002/2003
5502
15/11/2026
Atenciosamente,
Compras</t>
        </is>
      </c>
    </row>
    <row r="3">
      <c r="A3" t="inlineStr">
        <is>
          <t>msg-exemplo-2</t>
        </is>
      </c>
      <c r="B3" t="inlineStr">
        <is>
          <t>msg-exemplo-2</t>
        </is>
      </c>
      <c r="D3" s="6" t="n">
        <v>46330.56944444445</v>
      </c>
      <c r="E3" t="inlineStr">
        <is>
          <t>2026-11-04T16:40:00Z</t>
        </is>
      </c>
      <c r="F3" t="inlineStr">
        <is>
          <t>compras@exemplo.com.br</t>
        </is>
      </c>
      <c r="G3" t="inlineStr">
        <is>
          <t>NF 777</t>
        </is>
      </c>
      <c r="H3" t="n">
        <v>2</v>
      </c>
      <c r="I3" t="n">
        <v>1</v>
      </c>
      <c r="J3" t="inlineStr">
        <is>
          <t>Com revisão</t>
        </is>
      </c>
      <c r="K3" t="inlineStr">
        <is>
          <t>Não informado pelo conector</t>
        </is>
      </c>
      <c r="M3" t="inlineStr">
        <is>
          <t>[LEITOR_V13]
Empresa: BETAVIARIA
  FORNECEDOR
NF
AF
VENCIMENTO
  Serviços Demonstração Ltda
777
5610
01/12/2026
  Peças Exemplo Eireli
3315
5611</t>
        </is>
      </c>
    </row>
    <row r="4">
      <c r="A4" t="inlineStr">
        <is>
          <t>msg-exemplo-3</t>
        </is>
      </c>
      <c r="B4" t="inlineStr">
        <is>
          <t>msg-exemplo-3</t>
        </is>
      </c>
      <c r="D4" s="6" t="n">
        <v>46331.38541666667</v>
      </c>
      <c r="E4" t="inlineStr">
        <is>
          <t>2026-11-05T12:15:00Z</t>
        </is>
      </c>
      <c r="F4" t="inlineStr">
        <is>
          <t>compras@exemplo.com.br</t>
        </is>
      </c>
      <c r="G4" t="inlineStr">
        <is>
          <t>ENC: Notas recebidas 03/11</t>
        </is>
      </c>
      <c r="H4" t="n">
        <v>3</v>
      </c>
      <c r="I4" t="n">
        <v>3</v>
      </c>
      <c r="J4" t="inlineStr">
        <is>
          <t>Com revisão</t>
        </is>
      </c>
      <c r="K4" t="inlineStr">
        <is>
          <t>Não informado pelo conector</t>
        </is>
      </c>
      <c r="M4" t="inlineStr">
        <is>
          <t>[LEITOR_V13]
Boa tarde, seguem as notas recebidas hoje.
  EMPRESA
FOR
FORNECEDOR
NF
AF
VENCIMENTO
  ALFAMETAL
1020
Fornecedor Exemplo Ltda
1001
5501
10/11/2026
  ALFAMETAL
1187
Comercial Modelo ME
48213
5507
12/11/2026
  BETAVIARIA
3040
Transportes Fictícios SA
2002/2003
5502
15/11/2026
Atenciosamente,
Compras</t>
        </is>
      </c>
    </row>
    <row r="5">
      <c r="A5" t="inlineStr">
        <is>
          <t>msg-exemplo-4</t>
        </is>
      </c>
      <c r="B5" t="inlineStr">
        <is>
          <t>msg-exemplo-4</t>
        </is>
      </c>
      <c r="D5" s="6" t="n">
        <v>46331.47222222222</v>
      </c>
      <c r="E5" t="inlineStr">
        <is>
          <t>2026-11-05T14:20:00Z</t>
        </is>
      </c>
      <c r="F5" t="inlineStr">
        <is>
          <t>compras@exemplo.com.br</t>
        </is>
      </c>
      <c r="G5" t="inlineStr">
        <is>
          <t>DESCONTO: GASES MODELO X ALFAMETAL</t>
        </is>
      </c>
      <c r="H5" t="n">
        <v>1</v>
      </c>
      <c r="I5" t="n">
        <v>2</v>
      </c>
      <c r="J5" t="inlineStr">
        <is>
          <t>Com revisão</t>
        </is>
      </c>
      <c r="K5" t="inlineStr">
        <is>
          <t>Não informado pelo conector</t>
        </is>
      </c>
      <c r="M5" t="inlineStr">
        <is>
          <t>[LEITOR_V13]
Bom dia, segue desconto negociado.
  FORNECEDOR
NF
VALOR NOTA FISCAL
DIFERENÇA
VALOR LÍQUIDO
  Gases Modelo Ltda
8120
1.500,00
150,00
1.350,00
  TOTAL
1.500,00
150,00
1.350,00
Favor pagar o valor líquido.</t>
        </is>
      </c>
    </row>
    <row r="6">
      <c r="A6" t="inlineStr">
        <is>
          <t>msg-exemplo-5</t>
        </is>
      </c>
      <c r="B6" t="inlineStr">
        <is>
          <t>msg-exemplo-5</t>
        </is>
      </c>
      <c r="D6" s="6" t="n">
        <v>46332.25694444445</v>
      </c>
      <c r="E6" t="inlineStr">
        <is>
          <t>2026-11-06T09:10:00Z</t>
        </is>
      </c>
      <c r="F6" t="inlineStr">
        <is>
          <t>compras@exemplo.com.br</t>
        </is>
      </c>
      <c r="G6" t="inlineStr">
        <is>
          <t>ENVIO DE NOTA FISCAL</t>
        </is>
      </c>
      <c r="H6" t="n">
        <v>1</v>
      </c>
      <c r="I6" t="n">
        <v>1</v>
      </c>
      <c r="J6" t="inlineStr">
        <is>
          <t>Com revisão</t>
        </is>
      </c>
      <c r="K6" t="inlineStr">
        <is>
          <t>Não informado pelo conector</t>
        </is>
      </c>
      <c r="M6" t="inlineStr">
        <is>
          <t>[LEITOR_V13]
Empresa: ALFAMETAL
  FOR
FORNECEDOR
NF
AF
VENCIMENTO
  2210
Usinagem Fictícia Ltda
5530
5530
20/11/2026</t>
        </is>
      </c>
    </row>
    <row r="7">
      <c r="A7" t="inlineStr">
        <is>
          <t>msg-exemplo-6</t>
        </is>
      </c>
      <c r="B7" t="inlineStr">
        <is>
          <t>msg-exemplo-6</t>
        </is>
      </c>
      <c r="D7" s="6" t="n">
        <v>46332.32291666667</v>
      </c>
      <c r="E7" t="inlineStr">
        <is>
          <t>2026-11-06T10:45:00Z</t>
        </is>
      </c>
      <c r="F7" t="inlineStr">
        <is>
          <t>compras@exemplo.com.br</t>
        </is>
      </c>
      <c r="G7" t="inlineStr">
        <is>
          <t>PAGAMENTO - Montagens Exemplo Ltda</t>
        </is>
      </c>
      <c r="H7" t="n">
        <v>1</v>
      </c>
      <c r="I7" t="n">
        <v>1</v>
      </c>
      <c r="J7" t="inlineStr">
        <is>
          <t>Com revisão</t>
        </is>
      </c>
      <c r="K7" t="inlineStr">
        <is>
          <t>Não informado pelo conector</t>
        </is>
      </c>
      <c r="M7" t="inlineStr">
        <is>
          <t>[LEITOR_V13]
Empresa: BETAVIARIA
Solicitamos adiantamento conforme proposta.
AF: 5620
Atenciosamente,
Compras</t>
        </is>
      </c>
    </row>
    <row r="8">
      <c r="A8" t="inlineStr">
        <is>
          <t>msg-exemplo-7</t>
        </is>
      </c>
      <c r="B8" t="inlineStr">
        <is>
          <t>msg-exemplo-7</t>
        </is>
      </c>
      <c r="D8" s="6" t="n">
        <v>46332.52083333333</v>
      </c>
      <c r="E8" t="inlineStr">
        <is>
          <t>2026-11-06T15:30:00Z</t>
        </is>
      </c>
      <c r="F8" t="inlineStr">
        <is>
          <t>compras@exemplo.com.br</t>
        </is>
      </c>
      <c r="G8" t="inlineStr">
        <is>
          <t>NF Peças Exemplo</t>
        </is>
      </c>
      <c r="H8" t="n">
        <v>0</v>
      </c>
      <c r="I8" t="n">
        <v>1</v>
      </c>
      <c r="J8" t="inlineStr">
        <is>
          <t>Com revisão</t>
        </is>
      </c>
      <c r="K8" t="inlineStr">
        <is>
          <t>Não informado pelo conector</t>
        </is>
      </c>
      <c r="M8" t="inlineStr">
        <is>
          <t>[LEITOR_V13]
Boa tarde, segue nota em anexo.
Atenciosamente,
Compras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32" customWidth="1" min="4" max="4"/>
    <col width="80" customWidth="1" min="5" max="5"/>
    <col width="12" customWidth="1" min="6" max="6"/>
  </cols>
  <sheetData>
    <row r="1">
      <c r="A1" t="inlineStr">
        <is>
          <t>ID_Revisao</t>
        </is>
      </c>
      <c r="B1" t="inlineStr">
        <is>
          <t>ID_Email</t>
        </is>
      </c>
      <c r="C1" t="inlineStr">
        <is>
          <t>NF</t>
        </is>
      </c>
      <c r="D1" t="inlineStr">
        <is>
          <t>Tipo</t>
        </is>
      </c>
      <c r="E1" t="inlineStr">
        <is>
          <t>Detalhe</t>
        </is>
      </c>
      <c r="F1" t="inlineStr">
        <is>
          <t>Situacao</t>
        </is>
      </c>
    </row>
    <row r="2">
      <c r="A2" t="inlineStr">
        <is>
          <t>msg-exemplo-2|V13P1</t>
        </is>
      </c>
      <c r="B2" t="inlineStr">
        <is>
          <t>msg-exemplo-2</t>
        </is>
      </c>
      <c r="C2" t="inlineStr">
        <is>
          <t>3315</t>
        </is>
      </c>
      <c r="D2" t="inlineStr">
        <is>
          <t>Campos incompletos / conferir</t>
        </is>
      </c>
      <c r="E2" t="inlineStr">
        <is>
          <t>T1L3: Vencimento não informado. Linha preservada. ["Peças Exemplo Eireli","3315","5611",""]</t>
        </is>
      </c>
      <c r="F2" t="inlineStr">
        <is>
          <t>Pendente</t>
        </is>
      </c>
    </row>
    <row r="3">
      <c r="A3" t="inlineStr">
        <is>
          <t>msg-exemplo-3|V13P1</t>
        </is>
      </c>
      <c r="B3" t="inlineStr">
        <is>
          <t>msg-exemplo-3</t>
        </is>
      </c>
      <c r="C3" t="inlineStr">
        <is>
          <t>1001</t>
        </is>
      </c>
      <c r="D3" t="inlineStr">
        <is>
          <t>Possível duplicidade - conferir</t>
        </is>
      </c>
      <c r="E3" t="inlineStr">
        <is>
          <t>Mesmos empresa, fornecedor, NF, AF, vencimento, tipo e valores em outra mensagem. Nova linha criada para conferência; não é prova de duplicidade fiscal. Dados recebidos: {"nf":"1001","empresa":"ALFAMETAL","fornecedor":"Fornecedor Exemplo Ltda","codigo":"1020","af":"5501","vencimento":46336,"tipo":"Envio informado","observacao":"Dados de origem: [\"ALFAMETAL\",\"1020\",\"Fornecedor Exemplo Ltda\",\"1001\",\"5501\",\"10/11/2026\"] | ENC/RES aceito; data de recebimento é a desta mensagem, não do envio original.","valorNF":"","valorAF":"","diferenca":"","liquido":"","origem":"T1L2"}</t>
        </is>
      </c>
      <c r="F3" t="inlineStr">
        <is>
          <t>Pendente</t>
        </is>
      </c>
    </row>
    <row r="4">
      <c r="A4" t="inlineStr">
        <is>
          <t>msg-exemplo-3|V13P2</t>
        </is>
      </c>
      <c r="B4" t="inlineStr">
        <is>
          <t>msg-exemplo-3</t>
        </is>
      </c>
      <c r="C4" t="inlineStr">
        <is>
          <t>48213</t>
        </is>
      </c>
      <c r="D4" t="inlineStr">
        <is>
          <t>Possível duplicidade - conferir</t>
        </is>
      </c>
      <c r="E4" t="inlineStr">
        <is>
          <t>Mesmos empresa, fornecedor, NF, AF, vencimento, tipo e valores em outra mensagem. Nova linha criada para conferência; não é prova de duplicidade fiscal. Dados recebidos: {"nf":"48213","empresa":"ALFAMETAL","fornecedor":"Comercial Modelo ME","codigo":"1187","af":"5507","vencimento":46338,"tipo":"Envio informado","observacao":"Dados de origem: [\"ALFAMETAL\",\"1187\",\"Comercial Modelo ME\",\"48213\",\"5507\",\"12/11/2026\"] | ENC/RES aceito; data de recebimento é a desta mensagem, não do envio original.","valorNF":"","valorAF":"","diferenca":"","liquido":"","origem":"T1L3"}</t>
        </is>
      </c>
      <c r="F4" t="inlineStr">
        <is>
          <t>Pendente</t>
        </is>
      </c>
    </row>
    <row r="5">
      <c r="A5" t="inlineStr">
        <is>
          <t>msg-exemplo-3|V13P3</t>
        </is>
      </c>
      <c r="B5" t="inlineStr">
        <is>
          <t>msg-exemplo-3</t>
        </is>
      </c>
      <c r="C5" t="inlineStr">
        <is>
          <t>2002/2003</t>
        </is>
      </c>
      <c r="D5" t="inlineStr">
        <is>
          <t>Possível duplicidade - conferir</t>
        </is>
      </c>
      <c r="E5" t="inlineStr">
        <is>
          <t>Mesmos empresa, fornecedor, NF, AF, vencimento, tipo e valores em outra mensagem. Nova linha criada para conferência; não é prova de duplicidade fiscal. Dados recebidos: {"nf":"2002/2003","empresa":"BETAVIARIA","fornecedor":"Transportes Fictícios SA","codigo":"3040","af":"5502","vencimento":46341,"tipo":"Envio informado","observacao":"Dados de origem: [\"BETAVIARIA\",\"3040\",\"Transportes Fictícios SA\",\"2002/2003\",\"5502\",\"15/11/2026\"] | ENC/RES aceito; data de recebimento é a desta mensagem, não do envio original.","valorNF":"","valorAF":"","diferenca":"","liquido":"","origem":"T1L4"}</t>
        </is>
      </c>
      <c r="F5" t="inlineStr">
        <is>
          <t>Pendente</t>
        </is>
      </c>
    </row>
    <row r="6">
      <c r="A6" t="inlineStr">
        <is>
          <t>msg-exemplo-4|V13P1</t>
        </is>
      </c>
      <c r="B6" t="inlineStr">
        <is>
          <t>msg-exemplo-4</t>
        </is>
      </c>
      <c r="C6" t="inlineStr">
        <is>
          <t>8120</t>
        </is>
      </c>
      <c r="D6" t="inlineStr">
        <is>
          <t>Campos incompletos / conferir</t>
        </is>
      </c>
      <c r="E6" t="inlineStr">
        <is>
          <t>T1L2: Vencimento não informado. Linha preservada. ["Gases Modelo Ltda","8120","1.500,00","150,00","1.350,00"]</t>
        </is>
      </c>
      <c r="F6" t="inlineStr">
        <is>
          <t>Pendente</t>
        </is>
      </c>
    </row>
    <row r="7">
      <c r="A7" t="inlineStr">
        <is>
          <t>msg-exemplo-4|V13P2</t>
        </is>
      </c>
      <c r="B7" t="inlineStr">
        <is>
          <t>msg-exemplo-4</t>
        </is>
      </c>
      <c r="C7" t="inlineStr">
        <is>
          <t>8120</t>
        </is>
      </c>
      <c r="D7" t="inlineStr">
        <is>
          <t>Validar desconto/ajuste</t>
        </is>
      </c>
      <c r="E7" t="inlineStr">
        <is>
          <t>T1L2: valores e instruções transcritos, não autorizam pagamento. Conferir mensagem original.</t>
        </is>
      </c>
      <c r="F7" t="inlineStr">
        <is>
          <t>Pendente</t>
        </is>
      </c>
    </row>
    <row r="8">
      <c r="A8" t="inlineStr">
        <is>
          <t>msg-exemplo-5|V13P1</t>
        </is>
      </c>
      <c r="B8" t="inlineStr">
        <is>
          <t>msg-exemplo-5</t>
        </is>
      </c>
      <c r="C8" t="inlineStr">
        <is>
          <t>5530</t>
        </is>
      </c>
      <c r="D8" t="inlineStr">
        <is>
          <t>NF igual à AF</t>
        </is>
      </c>
      <c r="E8" t="inlineStr">
        <is>
          <t>T1L2: números iguais preservados; não se concluiu que há erro.</t>
        </is>
      </c>
      <c r="F8" t="inlineStr">
        <is>
          <t>Pendente</t>
        </is>
      </c>
    </row>
    <row r="9">
      <c r="A9" t="inlineStr">
        <is>
          <t>msg-exemplo-6|V13P1</t>
        </is>
      </c>
      <c r="B9" t="inlineStr">
        <is>
          <t>msg-exemplo-6</t>
        </is>
      </c>
      <c r="D9" t="inlineStr">
        <is>
          <t>Adiantamento sem NF</t>
        </is>
      </c>
      <c r="E9" t="inlineStr">
        <is>
          <t>Comunicação preservada fora dos totais de NF. Conferir o pedido e documentos; não confirma pagamento.</t>
        </is>
      </c>
      <c r="F9" t="inlineStr">
        <is>
          <t>Pendente</t>
        </is>
      </c>
    </row>
    <row r="10">
      <c r="A10" t="inlineStr">
        <is>
          <t>msg-exemplo-7|V13P1</t>
        </is>
      </c>
      <c r="B10" t="inlineStr">
        <is>
          <t>msg-exemplo-7</t>
        </is>
      </c>
      <c r="D10" t="inlineStr">
        <is>
          <t>Formato não reconhecido</t>
        </is>
      </c>
      <c r="E10" t="inlineStr">
        <is>
          <t>Mensagem preservada, sem extração segura. Não lê anexos/PDF/XML/imagens nem adivinha números e datas sem rótulos.</t>
        </is>
      </c>
      <c r="F10" t="inlineStr">
        <is>
          <t>Pendente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1" t="inlineStr">
        <is>
          <t>Como esta planilha funciona</t>
        </is>
      </c>
    </row>
    <row r="3">
      <c r="B3" t="inlineStr"/>
    </row>
    <row r="4">
      <c r="B4" t="inlineStr">
        <is>
          <t>1. O Power Automate chama o Office Script a cada e-mail de Compras.</t>
        </is>
      </c>
    </row>
    <row r="5">
      <c r="B5" t="inlineStr">
        <is>
          <t>2. O script lê a tabela do e-mail e grava cada NF em tbNotas (novas no topo).</t>
        </is>
      </c>
    </row>
    <row r="6">
      <c r="B6" t="inlineStr">
        <is>
          <t>3. Cada e-mail fica registrado em tbEmails; o mesmo e-mail nunca entra duas vezes.</t>
        </is>
      </c>
    </row>
    <row r="7">
      <c r="B7" t="inlineStr">
        <is>
          <t>4. O que o script não conseguiu ler com segurança vai para tbRevisao.</t>
        </is>
      </c>
    </row>
    <row r="8">
      <c r="B8" t="inlineStr">
        <is>
          <t>5. Linhas amarelas = mesma NF e fornecedor em mais de um registro: conferir.</t>
        </is>
      </c>
    </row>
    <row r="9">
      <c r="B9" t="inlineStr"/>
    </row>
    <row r="10">
      <c r="B10" s="3" t="inlineStr">
        <is>
          <t>Não renomeie as tabelas nem as colunas: o script confere os cabeçalhos.</t>
        </is>
      </c>
    </row>
    <row r="11">
      <c r="B11" s="2" t="inlineStr">
        <is>
          <t>Os dados desta planilha são fictícios.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2026-10-27T17:43:45Z</dcterms:created>
  <dcterms:modified xmlns:dcterms="http://purl.org/dc/terms/" xmlns:xsi="http://www.w3.org/2001/XMLSchema-instance" xsi:type="dcterms:W3CDTF">2026-10-27T17:43:45Z</dcterms:modified>
</cp:coreProperties>
</file>