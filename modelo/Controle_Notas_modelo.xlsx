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recebidas" sheetId="1" state="visible" r:id="rId1"/>
    <sheet name="Emails" sheetId="2" state="visible" r:id="rId2"/>
    <sheet name="Revisao" sheetId="3" state="visible" r:id="rId3"/>
    <sheet name="Gu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7F7F7F"/>
      <sz val="9"/>
    </font>
    <font>
      <b val="1"/>
      <color rgb="00595959"/>
      <sz val="10"/>
    </font>
    <font>
      <b val="1"/>
      <color rgb="001F4E79"/>
      <sz val="2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Notas" displayName="tbNotas" ref="A12:R13" headerRowCount="1">
  <autoFilter ref="A12:R13"/>
  <tableColumns count="18">
    <tableColumn id="1" name="NF"/>
    <tableColumn id="2" name="Empresa"/>
    <tableColumn id="3" name="Fornecedor"/>
    <tableColumn id="4" name="FOR"/>
    <tableColumn id="5" name="AF / Pedido"/>
    <tableColumn id="6" name="Vencimento"/>
    <tableColumn id="7" name="Comunicação"/>
    <tableColumn id="8" name="Recebido em"/>
    <tableColumn id="9" name="Conferencia"/>
    <tableColumn id="10" name="Possivel_Vinculo"/>
    <tableColumn id="11" name="Observacoes"/>
    <tableColumn id="12" name="Valor_NF_Informado"/>
    <tableColumn id="13" name="Valor_AF_Informado"/>
    <tableColumn id="14" name="Diferenca_Informada"/>
    <tableColumn id="15" name="Liquido_Informado"/>
    <tableColumn id="16" name="ID_Email"/>
    <tableColumn id="17" name="ID_Registro"/>
    <tableColumn id="18" name="Chave_Provisoria"/>
  </tableColumns>
  <tableStyleInfo name="TableStyleMedium2" showRowStripes="1"/>
</table>
</file>

<file path=xl/tables/table2.xml><?xml version="1.0" encoding="utf-8"?>
<table xmlns="http://schemas.openxmlformats.org/spreadsheetml/2006/main" id="2" name="tbEmails" displayName="tbEmails" ref="A1:M2" headerRowCount="1">
  <autoFilter ref="A1:M2"/>
  <tableColumns count="13">
    <tableColumn id="1" name="ID_Email"/>
    <tableColumn id="2" name="Message_ID"/>
    <tableColumn id="3" name="Internet_Message_ID"/>
    <tableColumn id="4" name="Recebido_UTC_3"/>
    <tableColumn id="5" name="Recebido_UTC_Original"/>
    <tableColumn id="6" name="Remetente"/>
    <tableColumn id="7" name="Assunto"/>
    <tableColumn id="8" name="Referencias"/>
    <tableColumn id="9" name="Pendencias"/>
    <tableColumn id="10" name="Status_Captura"/>
    <tableColumn id="11" name="Tem_Anexos"/>
    <tableColumn id="12" name="Link_Original"/>
    <tableColumn id="13" name="Trecho_Corpo"/>
  </tableColumns>
  <tableStyleInfo name="TableStyleMedium2" showRowStripes="1"/>
</table>
</file>

<file path=xl/tables/table3.xml><?xml version="1.0" encoding="utf-8"?>
<table xmlns="http://schemas.openxmlformats.org/spreadsheetml/2006/main" id="3" name="tbRevisao" displayName="tbRevisao" ref="A1:F2" headerRowCount="1">
  <autoFilter ref="A1:F2"/>
  <tableColumns count="6">
    <tableColumn id="1" name="ID_Revisao"/>
    <tableColumn id="2" name="ID_Email"/>
    <tableColumn id="3" name="NF"/>
    <tableColumn id="4" name="Tipo"/>
    <tableColumn id="5" name="Detalhe"/>
    <tableColumn id="6" name="Situaca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8" customWidth="1" min="4" max="4"/>
    <col width="12" customWidth="1" min="5" max="5"/>
    <col width="12" customWidth="1" min="6" max="6"/>
    <col width="18" customWidth="1" min="7" max="7"/>
    <col width="16" customWidth="1" min="8" max="8"/>
    <col width="20" customWidth="1" min="9" max="9"/>
    <col width="30" customWidth="1" min="10" max="10"/>
    <col width="4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22" customWidth="1" min="17" max="17"/>
    <col width="30" customWidth="1" min="18" max="18"/>
  </cols>
  <sheetData>
    <row r="2">
      <c r="B2" s="1" t="inlineStr">
        <is>
          <t>Controle de Notas — Compras</t>
        </is>
      </c>
    </row>
    <row r="3">
      <c r="B3" s="2" t="inlineStr">
        <is>
          <t>Leitor v1.3 • Campos ausentes ficam em branco. Pendências na aba Revisao.</t>
        </is>
      </c>
    </row>
    <row r="5">
      <c r="B5" s="3" t="inlineStr">
        <is>
          <t>Referências ALFAMETAL</t>
        </is>
      </c>
      <c r="F5" s="3" t="inlineStr">
        <is>
          <t>Referências BETAVIARIA</t>
        </is>
      </c>
    </row>
    <row r="6">
      <c r="B6" s="4">
        <f>IFERROR(SUMPRODUCT(--(tbNotas[Empresa]="ALFAMETAL"),--(tbNotas[NF]&lt;&gt;""),LEN(tbNotas[NF])-LEN(SUBSTITUTE(tbNotas[NF],"/",""))+1),0)</f>
        <v/>
      </c>
      <c r="F6" s="4">
        <f>IFERROR(SUMPRODUCT(--(tbNotas[Empresa]="BETAVIARIA"),--(tbNotas[NF]&lt;&gt;""),LEN(tbNotas[NF])-LEN(SUBSTITUTE(tbNotas[NF],"/",""))+1),0)</f>
        <v/>
      </c>
    </row>
    <row r="10">
      <c r="B10" s="2" t="inlineStr">
        <is>
          <t>Totais de referências (não NFs únicas). Barras somam cada NF; sem empresa/NF não entra nos totais.</t>
        </is>
      </c>
    </row>
    <row r="12">
      <c r="A12" t="inlineStr">
        <is>
          <t>NF</t>
        </is>
      </c>
      <c r="B12" t="inlineStr">
        <is>
          <t>Empresa</t>
        </is>
      </c>
      <c r="C12" t="inlineStr">
        <is>
          <t>Fornecedor</t>
        </is>
      </c>
      <c r="D12" t="inlineStr">
        <is>
          <t>FOR</t>
        </is>
      </c>
      <c r="E12" t="inlineStr">
        <is>
          <t>AF / Pedido</t>
        </is>
      </c>
      <c r="F12" t="inlineStr">
        <is>
          <t>Vencimento</t>
        </is>
      </c>
      <c r="G12" t="inlineStr">
        <is>
          <t>Comunicação</t>
        </is>
      </c>
      <c r="H12" t="inlineStr">
        <is>
          <t>Recebido em</t>
        </is>
      </c>
      <c r="I12" t="inlineStr">
        <is>
          <t>Conferencia</t>
        </is>
      </c>
      <c r="J12" t="inlineStr">
        <is>
          <t>Possivel_Vinculo</t>
        </is>
      </c>
      <c r="K12" t="inlineStr">
        <is>
          <t>Observacoes</t>
        </is>
      </c>
      <c r="L12" t="inlineStr">
        <is>
          <t>Valor_NF_Informado</t>
        </is>
      </c>
      <c r="M12" t="inlineStr">
        <is>
          <t>Valor_AF_Informado</t>
        </is>
      </c>
      <c r="N12" t="inlineStr">
        <is>
          <t>Diferenca_Informada</t>
        </is>
      </c>
      <c r="O12" t="inlineStr">
        <is>
          <t>Liquido_Informado</t>
        </is>
      </c>
      <c r="P12" t="inlineStr">
        <is>
          <t>ID_Email</t>
        </is>
      </c>
      <c r="Q12" t="inlineStr">
        <is>
          <t>ID_Registro</t>
        </is>
      </c>
      <c r="R12" t="inlineStr">
        <is>
          <t>Chave_Provisoria</t>
        </is>
      </c>
    </row>
    <row r="13">
      <c r="F13" s="5" t="n"/>
      <c r="H13" s="6" t="n"/>
      <c r="L13" s="7" t="n"/>
      <c r="M13" s="7" t="n"/>
      <c r="N13" s="7" t="n"/>
      <c r="O13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22" customWidth="1" min="5" max="5"/>
    <col width="26" customWidth="1" min="6" max="6"/>
    <col width="30" customWidth="1" min="7" max="7"/>
    <col width="11" customWidth="1" min="8" max="8"/>
    <col width="11" customWidth="1" min="9" max="9"/>
    <col width="15" customWidth="1" min="10" max="10"/>
    <col width="22" customWidth="1" min="11" max="11"/>
    <col width="20" customWidth="1" min="12" max="12"/>
    <col width="50" customWidth="1" min="13" max="13"/>
  </cols>
  <sheetData>
    <row r="1">
      <c r="A1" t="inlineStr">
        <is>
          <t>ID_Email</t>
        </is>
      </c>
      <c r="B1" t="inlineStr">
        <is>
          <t>Message_ID</t>
        </is>
      </c>
      <c r="C1" t="inlineStr">
        <is>
          <t>Internet_Message_ID</t>
        </is>
      </c>
      <c r="D1" t="inlineStr">
        <is>
          <t>Recebido_UTC_3</t>
        </is>
      </c>
      <c r="E1" t="inlineStr">
        <is>
          <t>Recebido_UTC_Original</t>
        </is>
      </c>
      <c r="F1" t="inlineStr">
        <is>
          <t>Remetente</t>
        </is>
      </c>
      <c r="G1" t="inlineStr">
        <is>
          <t>Assunto</t>
        </is>
      </c>
      <c r="H1" t="inlineStr">
        <is>
          <t>Referencias</t>
        </is>
      </c>
      <c r="I1" t="inlineStr">
        <is>
          <t>Pendencias</t>
        </is>
      </c>
      <c r="J1" t="inlineStr">
        <is>
          <t>Status_Captura</t>
        </is>
      </c>
      <c r="K1" t="inlineStr">
        <is>
          <t>Tem_Anexos</t>
        </is>
      </c>
      <c r="L1" t="inlineStr">
        <is>
          <t>Link_Original</t>
        </is>
      </c>
      <c r="M1" t="inlineStr">
        <is>
          <t>Trecho_Corpo</t>
        </is>
      </c>
    </row>
    <row r="2">
      <c r="D2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32" customWidth="1" min="4" max="4"/>
    <col width="80" customWidth="1" min="5" max="5"/>
    <col width="12" customWidth="1" min="6" max="6"/>
  </cols>
  <sheetData>
    <row r="1">
      <c r="A1" t="inlineStr">
        <is>
          <t>ID_Revisao</t>
        </is>
      </c>
      <c r="B1" t="inlineStr">
        <is>
          <t>ID_Email</t>
        </is>
      </c>
      <c r="C1" t="inlineStr">
        <is>
          <t>NF</t>
        </is>
      </c>
      <c r="D1" t="inlineStr">
        <is>
          <t>Tipo</t>
        </is>
      </c>
      <c r="E1" t="inlineStr">
        <is>
          <t>Detalhe</t>
        </is>
      </c>
      <c r="F1" t="inlineStr">
        <is>
          <t>Situacao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1" t="inlineStr">
        <is>
          <t>Como esta planilha funciona</t>
        </is>
      </c>
    </row>
    <row r="3">
      <c r="B3" t="inlineStr"/>
    </row>
    <row r="4">
      <c r="B4" t="inlineStr">
        <is>
          <t>1. O Power Automate chama o Office Script a cada e-mail de Compras.</t>
        </is>
      </c>
    </row>
    <row r="5">
      <c r="B5" t="inlineStr">
        <is>
          <t>2. O script lê a tabela do e-mail e grava cada NF em tbNotas (novas no topo).</t>
        </is>
      </c>
    </row>
    <row r="6">
      <c r="B6" t="inlineStr">
        <is>
          <t>3. Cada e-mail fica registrado em tbEmails; o mesmo e-mail nunca entra duas vezes.</t>
        </is>
      </c>
    </row>
    <row r="7">
      <c r="B7" t="inlineStr">
        <is>
          <t>4. O que o script não conseguiu ler com segurança vai para tbRevisao.</t>
        </is>
      </c>
    </row>
    <row r="8">
      <c r="B8" t="inlineStr">
        <is>
          <t>5. Linhas amarelas = mesma NF e fornecedor em mais de um registro: conferir.</t>
        </is>
      </c>
    </row>
    <row r="9">
      <c r="B9" t="inlineStr"/>
    </row>
    <row r="10">
      <c r="B10" s="3" t="inlineStr">
        <is>
          <t>Não renomeie as tabelas nem as colunas: o script confere os cabeçalhos.</t>
        </is>
      </c>
    </row>
    <row r="11">
      <c r="B11" s="2" t="inlineStr">
        <is>
          <t>Os dados desta planilha são fictícios.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2026-10-23T20:33:55Z</dcterms:created>
  <dcterms:modified xsi:type="dcterms:W3CDTF">2026-10-23T20:33:55Z</dcterms:modified>
</cp:coreProperties>
</file>